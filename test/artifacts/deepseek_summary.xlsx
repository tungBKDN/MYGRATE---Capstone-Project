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apstone_project\MYGRATE---Capstone-Project\test\artifacts\"/>
    </mc:Choice>
  </mc:AlternateContent>
  <xr:revisionPtr revIDLastSave="0" documentId="13_ncr:1_{20FD128F-7369-4177-A10F-6718178FEDA4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DeepSeek-V3 (2)" sheetId="4" r:id="rId1"/>
    <sheet name="Qwen 3.5 (2)" sheetId="5" r:id="rId2"/>
  </sheets>
  <calcPr calcId="191029"/>
</workbook>
</file>

<file path=xl/calcChain.xml><?xml version="1.0" encoding="utf-8"?>
<calcChain xmlns="http://schemas.openxmlformats.org/spreadsheetml/2006/main">
  <c r="G32" i="5" l="1"/>
  <c r="G31" i="4"/>
  <c r="H31" i="5"/>
  <c r="I31" i="5" s="1"/>
  <c r="J31" i="5" s="1"/>
  <c r="H30" i="5"/>
  <c r="H29" i="5"/>
  <c r="I29" i="5" s="1"/>
  <c r="J29" i="5" s="1"/>
  <c r="H28" i="5"/>
  <c r="H27" i="5"/>
  <c r="I27" i="5" s="1"/>
  <c r="H26" i="5"/>
  <c r="H25" i="5"/>
  <c r="I25" i="5" s="1"/>
  <c r="H24" i="5"/>
  <c r="I24" i="5" s="1"/>
  <c r="J24" i="5" s="1"/>
  <c r="H23" i="5"/>
  <c r="I23" i="5" s="1"/>
  <c r="J23" i="5" s="1"/>
  <c r="H22" i="5"/>
  <c r="H21" i="5"/>
  <c r="I21" i="5" s="1"/>
  <c r="J21" i="5" s="1"/>
  <c r="H20" i="5"/>
  <c r="H19" i="5"/>
  <c r="I19" i="5" s="1"/>
  <c r="H18" i="5"/>
  <c r="H17" i="5"/>
  <c r="H16" i="5"/>
  <c r="I16" i="5" s="1"/>
  <c r="J16" i="5" s="1"/>
  <c r="I15" i="5"/>
  <c r="J15" i="5" s="1"/>
  <c r="H14" i="5"/>
  <c r="H13" i="5"/>
  <c r="I13" i="5" s="1"/>
  <c r="J13" i="5" s="1"/>
  <c r="H12" i="5"/>
  <c r="H11" i="5"/>
  <c r="I11" i="5" s="1"/>
  <c r="H10" i="5"/>
  <c r="H9" i="5"/>
  <c r="I9" i="5" s="1"/>
  <c r="H8" i="5"/>
  <c r="I8" i="5" s="1"/>
  <c r="J8" i="5" s="1"/>
  <c r="H7" i="5"/>
  <c r="I7" i="5" s="1"/>
  <c r="J7" i="5" s="1"/>
  <c r="H6" i="5"/>
  <c r="H5" i="5"/>
  <c r="H4" i="5"/>
  <c r="H3" i="5"/>
  <c r="I3" i="5" s="1"/>
  <c r="H2" i="5"/>
  <c r="H30" i="4"/>
  <c r="I30" i="4" s="1"/>
  <c r="J30" i="4" s="1"/>
  <c r="H29" i="4"/>
  <c r="H28" i="4"/>
  <c r="H27" i="4"/>
  <c r="I27" i="4" s="1"/>
  <c r="H26" i="4"/>
  <c r="I26" i="4" s="1"/>
  <c r="J26" i="4" s="1"/>
  <c r="H25" i="4"/>
  <c r="H24" i="4"/>
  <c r="H23" i="4"/>
  <c r="I22" i="4"/>
  <c r="J22" i="4" s="1"/>
  <c r="H22" i="4"/>
  <c r="H21" i="4"/>
  <c r="I21" i="4" s="1"/>
  <c r="H20" i="4"/>
  <c r="H19" i="4"/>
  <c r="I19" i="4" s="1"/>
  <c r="J19" i="4" s="1"/>
  <c r="H18" i="4"/>
  <c r="I18" i="4" s="1"/>
  <c r="J18" i="4" s="1"/>
  <c r="H17" i="4"/>
  <c r="H16" i="4"/>
  <c r="H15" i="4"/>
  <c r="I15" i="4" s="1"/>
  <c r="J15" i="4" s="1"/>
  <c r="H14" i="4"/>
  <c r="I14" i="4" s="1"/>
  <c r="J14" i="4" s="1"/>
  <c r="H13" i="4"/>
  <c r="I13" i="4" s="1"/>
  <c r="H12" i="4"/>
  <c r="H11" i="4"/>
  <c r="I11" i="4" s="1"/>
  <c r="J11" i="4" s="1"/>
  <c r="H10" i="4"/>
  <c r="I10" i="4" s="1"/>
  <c r="J10" i="4" s="1"/>
  <c r="H9" i="4"/>
  <c r="H8" i="4"/>
  <c r="H7" i="4"/>
  <c r="I7" i="4" s="1"/>
  <c r="J7" i="4" s="1"/>
  <c r="H6" i="4"/>
  <c r="I6" i="4" s="1"/>
  <c r="H5" i="4"/>
  <c r="I5" i="4" s="1"/>
  <c r="H4" i="4"/>
  <c r="H3" i="4"/>
  <c r="H2" i="4"/>
  <c r="J27" i="4" l="1"/>
  <c r="H31" i="4"/>
  <c r="J6" i="4"/>
  <c r="I2" i="4"/>
  <c r="I3" i="4"/>
  <c r="J3" i="4" s="1"/>
  <c r="I23" i="4"/>
  <c r="J23" i="4" s="1"/>
  <c r="I17" i="5"/>
  <c r="J17" i="5" s="1"/>
  <c r="I5" i="5"/>
  <c r="J5" i="5" s="1"/>
  <c r="J9" i="5"/>
  <c r="J25" i="5"/>
  <c r="H32" i="5"/>
  <c r="J3" i="5"/>
  <c r="I6" i="5"/>
  <c r="J6" i="5" s="1"/>
  <c r="J11" i="5"/>
  <c r="I14" i="5"/>
  <c r="J14" i="5" s="1"/>
  <c r="J19" i="5"/>
  <c r="I22" i="5"/>
  <c r="J22" i="5" s="1"/>
  <c r="J27" i="5"/>
  <c r="I30" i="5"/>
  <c r="J30" i="5" s="1"/>
  <c r="I4" i="5"/>
  <c r="J4" i="5" s="1"/>
  <c r="I12" i="5"/>
  <c r="J12" i="5" s="1"/>
  <c r="I20" i="5"/>
  <c r="J20" i="5" s="1"/>
  <c r="I28" i="5"/>
  <c r="J28" i="5" s="1"/>
  <c r="I2" i="5"/>
  <c r="I10" i="5"/>
  <c r="J10" i="5" s="1"/>
  <c r="I18" i="5"/>
  <c r="J18" i="5" s="1"/>
  <c r="I26" i="5"/>
  <c r="J26" i="5" s="1"/>
  <c r="I29" i="4"/>
  <c r="J29" i="4" s="1"/>
  <c r="J5" i="4"/>
  <c r="I8" i="4"/>
  <c r="J8" i="4" s="1"/>
  <c r="J13" i="4"/>
  <c r="I16" i="4"/>
  <c r="J16" i="4" s="1"/>
  <c r="J21" i="4"/>
  <c r="I24" i="4"/>
  <c r="J24" i="4" s="1"/>
  <c r="J2" i="4"/>
  <c r="I9" i="4"/>
  <c r="J9" i="4" s="1"/>
  <c r="I17" i="4"/>
  <c r="J17" i="4" s="1"/>
  <c r="I25" i="4"/>
  <c r="J25" i="4" s="1"/>
  <c r="I4" i="4"/>
  <c r="J4" i="4" s="1"/>
  <c r="I12" i="4"/>
  <c r="J12" i="4" s="1"/>
  <c r="I20" i="4"/>
  <c r="J20" i="4" s="1"/>
  <c r="I28" i="4"/>
  <c r="J28" i="4" s="1"/>
  <c r="I32" i="5" l="1"/>
  <c r="J2" i="5"/>
  <c r="J32" i="5" s="1"/>
  <c r="I31" i="4"/>
  <c r="J31" i="4"/>
</calcChain>
</file>

<file path=xl/sharedStrings.xml><?xml version="1.0" encoding="utf-8"?>
<sst xmlns="http://schemas.openxmlformats.org/spreadsheetml/2006/main" count="78" uniqueCount="40">
  <si>
    <t>compilation_success</t>
  </si>
  <si>
    <t>total_unit_test</t>
  </si>
  <si>
    <t>passed_tests</t>
  </si>
  <si>
    <t>artemis-odb</t>
  </si>
  <si>
    <t>balana</t>
  </si>
  <si>
    <t>charts4j</t>
  </si>
  <si>
    <t>DaisyDiff</t>
  </si>
  <si>
    <t>ddd-cqrs-sample</t>
  </si>
  <si>
    <t>dropwizard-todo</t>
  </si>
  <si>
    <t>druidry</t>
  </si>
  <si>
    <t>friendly-id</t>
  </si>
  <si>
    <t>geojson-jackson</t>
  </si>
  <si>
    <t>Jasper-report-maven-plugin</t>
  </si>
  <si>
    <t>java-u2flib-server</t>
  </si>
  <si>
    <t>jaydio</t>
  </si>
  <si>
    <t>jersey-jwt</t>
  </si>
  <si>
    <t>kafka-spout</t>
  </si>
  <si>
    <t>mini-spring</t>
  </si>
  <si>
    <t>netty-zmtp</t>
  </si>
  <si>
    <t>quilt</t>
  </si>
  <si>
    <t>rhizobia_J</t>
  </si>
  <si>
    <t>spark-jobs-rest-client</t>
  </si>
  <si>
    <t>spring-batch-rest</t>
  </si>
  <si>
    <t>spring-boot-rest-example</t>
  </si>
  <si>
    <t>spring-context-support</t>
  </si>
  <si>
    <t>spring-rest-exception-handler</t>
  </si>
  <si>
    <t>sql-to-mongo-db-query-converter</t>
  </si>
  <si>
    <t>suffixtree</t>
  </si>
  <si>
    <t>token-bucket</t>
  </si>
  <si>
    <t>unidecode</t>
  </si>
  <si>
    <t>unix4j</t>
  </si>
  <si>
    <t>velocity-spring-boot-project</t>
  </si>
  <si>
    <t>apollo</t>
  </si>
  <si>
    <t>baseline_cov</t>
  </si>
  <si>
    <t>cov_after</t>
  </si>
  <si>
    <t>Gate 1</t>
  </si>
  <si>
    <t>Gate 2</t>
  </si>
  <si>
    <t>Gate 3</t>
  </si>
  <si>
    <t>Codebase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</si>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</sst>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169" fontId="0" fillId="0" borderId="0" xfId="0" applyNumberFormat="1"/>
    <xf numFmtId="0" fontId="0" fillId="0" borderId="0" xfId="0" applyFont="1"/>
    <xf numFmtId="1" fontId="0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8573-EDD7-4F92-B5D5-408325687F64}">
  <dimension ref="A1:J31"/>
  <sheetViews>
    <sheetView zoomScale="115" zoomScaleNormal="115" workbookViewId="0">
      <selection activeCell="A34" sqref="A34"/>
    </sheetView>
  </sheetViews>
  <sheetFormatPr defaultRowHeight="15" x14ac:dyDescent="0.25"/>
  <cols>
    <col min="1" max="1" width="31.85546875" bestFit="1" customWidth="1"/>
    <col min="3" max="3" width="14.28515625" bestFit="1" customWidth="1"/>
    <col min="7" max="7" width="10.5703125" bestFit="1" customWidth="1"/>
  </cols>
  <sheetData>
    <row r="1" spans="1:10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33</v>
      </c>
      <c r="F1" s="1" t="s">
        <v>34</v>
      </c>
      <c r="G1" s="1"/>
      <c r="H1" s="1" t="s">
        <v>35</v>
      </c>
      <c r="I1" s="1" t="s">
        <v>36</v>
      </c>
      <c r="J1" s="1" t="s">
        <v>37</v>
      </c>
    </row>
    <row r="2" spans="1:10" x14ac:dyDescent="0.25">
      <c r="A2" t="s">
        <v>3</v>
      </c>
      <c r="B2" t="b">
        <v>1</v>
      </c>
      <c r="C2">
        <v>866</v>
      </c>
      <c r="D2">
        <v>846</v>
      </c>
      <c r="E2" s="2">
        <v>59.226949402764703</v>
      </c>
      <c r="F2" s="2">
        <v>59.226949402764703</v>
      </c>
      <c r="G2" s="5">
        <v>2</v>
      </c>
      <c r="H2" t="b">
        <f>IF(B2,TRUE,FALSE)</f>
        <v>1</v>
      </c>
      <c r="I2" t="b">
        <f>IF(AND(H2,C2=D2),TRUE,FALSE)</f>
        <v>0</v>
      </c>
      <c r="J2" t="b">
        <f>IF(AND(H2,I2,(E2-F2)&lt;=5),TRUE,FALSE)</f>
        <v>0</v>
      </c>
    </row>
    <row r="3" spans="1:10" x14ac:dyDescent="0.25">
      <c r="A3" t="s">
        <v>4</v>
      </c>
      <c r="B3" t="b">
        <v>1</v>
      </c>
      <c r="C3">
        <v>26</v>
      </c>
      <c r="D3">
        <v>0</v>
      </c>
      <c r="E3" s="2"/>
      <c r="F3" s="2"/>
      <c r="G3" s="6">
        <v>2</v>
      </c>
      <c r="H3" t="b">
        <f>IF(B3,TRUE,FALSE)</f>
        <v>1</v>
      </c>
      <c r="I3" t="b">
        <f>IF(AND(H3,C3=D3),TRUE,FALSE)</f>
        <v>0</v>
      </c>
      <c r="J3" t="b">
        <f>IF(AND(H3,I3,(E3-F3)&lt;=5),TRUE,FALSE)</f>
        <v>0</v>
      </c>
    </row>
    <row r="4" spans="1:10" x14ac:dyDescent="0.25">
      <c r="A4" t="s">
        <v>5</v>
      </c>
      <c r="B4" t="b">
        <v>1</v>
      </c>
      <c r="C4">
        <v>384</v>
      </c>
      <c r="D4">
        <v>384</v>
      </c>
      <c r="E4" s="2">
        <v>84.103512014787398</v>
      </c>
      <c r="F4" s="2">
        <v>84.092526690391395</v>
      </c>
      <c r="G4" s="6">
        <v>19</v>
      </c>
      <c r="H4" t="b">
        <f>IF(B4,TRUE,FALSE)</f>
        <v>1</v>
      </c>
      <c r="I4" t="b">
        <f>IF(AND(H4,C4=D4),TRUE,FALSE)</f>
        <v>1</v>
      </c>
      <c r="J4" t="b">
        <f>IF(AND(H4,I4,(E4-F4)&lt;=5),TRUE,FALSE)</f>
        <v>1</v>
      </c>
    </row>
    <row r="5" spans="1:10" x14ac:dyDescent="0.25">
      <c r="A5" t="s">
        <v>6</v>
      </c>
      <c r="B5" t="b">
        <v>0</v>
      </c>
      <c r="E5" s="2"/>
      <c r="F5" s="2"/>
      <c r="G5" s="6">
        <v>40</v>
      </c>
      <c r="H5" t="b">
        <f>IF(B5,TRUE,FALSE)</f>
        <v>0</v>
      </c>
      <c r="I5" t="b">
        <f>IF(AND(H5,C5=D5),TRUE,FALSE)</f>
        <v>0</v>
      </c>
      <c r="J5" t="b">
        <f>IF(AND(H5,I5,(E5-F5)&lt;=5),TRUE,FALSE)</f>
        <v>0</v>
      </c>
    </row>
    <row r="6" spans="1:10" x14ac:dyDescent="0.25">
      <c r="A6" t="s">
        <v>7</v>
      </c>
      <c r="B6" t="b">
        <v>0</v>
      </c>
      <c r="E6" s="2"/>
      <c r="F6" s="2"/>
      <c r="G6" s="6">
        <v>40</v>
      </c>
      <c r="H6" t="b">
        <f>IF(B6,TRUE,FALSE)</f>
        <v>0</v>
      </c>
      <c r="I6" t="b">
        <f>IF(AND(H6,C6=D6),TRUE,FALSE)</f>
        <v>0</v>
      </c>
      <c r="J6" t="b">
        <f>IF(AND(H6,I6,(E6-F6)&lt;=5),TRUE,FALSE)</f>
        <v>0</v>
      </c>
    </row>
    <row r="7" spans="1:10" x14ac:dyDescent="0.25">
      <c r="A7" t="s">
        <v>8</v>
      </c>
      <c r="B7" t="b">
        <v>0</v>
      </c>
      <c r="E7" s="2"/>
      <c r="F7" s="2"/>
      <c r="G7" s="6">
        <v>40</v>
      </c>
      <c r="H7" t="b">
        <f>IF(B7,TRUE,FALSE)</f>
        <v>0</v>
      </c>
      <c r="I7" t="b">
        <f>IF(AND(H7,C7=D7),TRUE,FALSE)</f>
        <v>0</v>
      </c>
      <c r="J7" t="b">
        <f>IF(AND(H7,I7,(E7-F7)&lt;=5),TRUE,FALSE)</f>
        <v>0</v>
      </c>
    </row>
    <row r="8" spans="1:10" x14ac:dyDescent="0.25">
      <c r="A8" t="s">
        <v>9</v>
      </c>
      <c r="B8" t="b">
        <v>1</v>
      </c>
      <c r="C8">
        <v>950</v>
      </c>
      <c r="D8">
        <v>950</v>
      </c>
      <c r="E8" s="2">
        <v>88.126605913325207</v>
      </c>
      <c r="F8" s="2">
        <v>88.116591928251097</v>
      </c>
      <c r="G8" s="6">
        <v>18</v>
      </c>
      <c r="H8" t="b">
        <f>IF(B8,TRUE,FALSE)</f>
        <v>1</v>
      </c>
      <c r="I8" t="b">
        <f>IF(AND(H8,C8=D8),TRUE,FALSE)</f>
        <v>1</v>
      </c>
      <c r="J8" t="b">
        <f>IF(AND(H8,I8,(E8-F8)&lt;=5),TRUE,FALSE)</f>
        <v>1</v>
      </c>
    </row>
    <row r="9" spans="1:10" x14ac:dyDescent="0.25">
      <c r="A9" t="s">
        <v>10</v>
      </c>
      <c r="B9" t="b">
        <v>0</v>
      </c>
      <c r="E9" s="2"/>
      <c r="F9" s="2"/>
      <c r="G9" s="6">
        <v>50</v>
      </c>
      <c r="H9" t="b">
        <f>IF(B9,TRUE,FALSE)</f>
        <v>0</v>
      </c>
      <c r="I9" t="b">
        <f>IF(AND(H9,C9=D9),TRUE,FALSE)</f>
        <v>0</v>
      </c>
      <c r="J9" t="b">
        <f>IF(AND(H9,I9,(E9-F9)&lt;=5),TRUE,FALSE)</f>
        <v>0</v>
      </c>
    </row>
    <row r="10" spans="1:10" x14ac:dyDescent="0.25">
      <c r="A10" t="s">
        <v>11</v>
      </c>
      <c r="B10" t="b">
        <v>0</v>
      </c>
      <c r="E10" s="2"/>
      <c r="F10" s="2"/>
      <c r="G10" s="6">
        <v>50</v>
      </c>
      <c r="H10" t="b">
        <f t="shared" ref="H10:H30" si="0">IF(B10,TRUE,FALSE)</f>
        <v>0</v>
      </c>
      <c r="I10" t="b">
        <f t="shared" ref="I10:I30" si="1">IF(AND(H10,C10=D10),TRUE,FALSE)</f>
        <v>0</v>
      </c>
      <c r="J10" t="b">
        <f t="shared" ref="J10:J30" si="2">IF(AND(H10,I10,(E10-F10)&lt;=5),TRUE,FALSE)</f>
        <v>0</v>
      </c>
    </row>
    <row r="11" spans="1:10" x14ac:dyDescent="0.25">
      <c r="A11" t="s">
        <v>12</v>
      </c>
      <c r="B11" t="b">
        <v>1</v>
      </c>
      <c r="C11">
        <v>10</v>
      </c>
      <c r="D11">
        <v>10</v>
      </c>
      <c r="E11" s="2">
        <v>65.868263473053801</v>
      </c>
      <c r="F11" s="2">
        <v>65.868263473053801</v>
      </c>
      <c r="G11" s="6">
        <v>33</v>
      </c>
      <c r="H11" t="b">
        <f t="shared" si="0"/>
        <v>1</v>
      </c>
      <c r="I11" t="b">
        <f t="shared" si="1"/>
        <v>1</v>
      </c>
      <c r="J11" t="b">
        <f t="shared" si="2"/>
        <v>1</v>
      </c>
    </row>
    <row r="12" spans="1:10" x14ac:dyDescent="0.25">
      <c r="A12" t="s">
        <v>13</v>
      </c>
      <c r="B12" t="b">
        <v>1</v>
      </c>
      <c r="C12">
        <v>230</v>
      </c>
      <c r="D12">
        <v>204</v>
      </c>
      <c r="E12" s="2">
        <v>87.525208873523397</v>
      </c>
      <c r="F12" s="2">
        <v>81.167883211678799</v>
      </c>
      <c r="G12" s="6">
        <v>27</v>
      </c>
      <c r="H12" t="b">
        <f t="shared" si="0"/>
        <v>1</v>
      </c>
      <c r="I12" t="b">
        <f t="shared" si="1"/>
        <v>0</v>
      </c>
      <c r="J12" t="b">
        <f t="shared" si="2"/>
        <v>0</v>
      </c>
    </row>
    <row r="13" spans="1:10" x14ac:dyDescent="0.25">
      <c r="A13" t="s">
        <v>14</v>
      </c>
      <c r="B13" t="b">
        <v>1</v>
      </c>
      <c r="C13">
        <v>105</v>
      </c>
      <c r="D13">
        <v>44</v>
      </c>
      <c r="E13" s="2">
        <v>62.539682539682502</v>
      </c>
      <c r="F13" s="2">
        <v>38.730158730158699</v>
      </c>
      <c r="G13" s="6">
        <v>50</v>
      </c>
      <c r="H13" t="b">
        <f t="shared" si="0"/>
        <v>1</v>
      </c>
      <c r="I13" t="b">
        <f t="shared" si="1"/>
        <v>0</v>
      </c>
      <c r="J13" t="b">
        <f t="shared" si="2"/>
        <v>0</v>
      </c>
    </row>
    <row r="14" spans="1:10" x14ac:dyDescent="0.25">
      <c r="A14" t="s">
        <v>15</v>
      </c>
      <c r="B14" t="b">
        <v>0</v>
      </c>
      <c r="E14" s="2"/>
      <c r="F14" s="2"/>
      <c r="G14" s="6">
        <v>50</v>
      </c>
      <c r="H14" t="b">
        <f t="shared" si="0"/>
        <v>0</v>
      </c>
      <c r="I14" t="b">
        <f t="shared" si="1"/>
        <v>0</v>
      </c>
      <c r="J14" t="b">
        <f t="shared" si="2"/>
        <v>0</v>
      </c>
    </row>
    <row r="15" spans="1:10" x14ac:dyDescent="0.25">
      <c r="A15" t="s">
        <v>16</v>
      </c>
      <c r="B15" t="b">
        <v>0</v>
      </c>
      <c r="E15" s="2"/>
      <c r="F15" s="2"/>
      <c r="G15" s="6">
        <v>2</v>
      </c>
      <c r="H15" t="b">
        <f t="shared" si="0"/>
        <v>0</v>
      </c>
      <c r="I15" t="b">
        <f t="shared" si="1"/>
        <v>0</v>
      </c>
      <c r="J15" t="b">
        <f t="shared" si="2"/>
        <v>0</v>
      </c>
    </row>
    <row r="16" spans="1:10" x14ac:dyDescent="0.25">
      <c r="A16" t="s">
        <v>17</v>
      </c>
      <c r="B16" t="b">
        <v>0</v>
      </c>
      <c r="E16" s="2"/>
      <c r="F16" s="2"/>
      <c r="G16" s="6">
        <v>50</v>
      </c>
      <c r="H16" t="b">
        <f t="shared" si="0"/>
        <v>0</v>
      </c>
      <c r="I16" t="b">
        <f t="shared" si="1"/>
        <v>0</v>
      </c>
      <c r="J16" t="b">
        <f t="shared" si="2"/>
        <v>0</v>
      </c>
    </row>
    <row r="17" spans="1:10" x14ac:dyDescent="0.25">
      <c r="A17" t="s">
        <v>18</v>
      </c>
      <c r="B17" t="b">
        <v>0</v>
      </c>
      <c r="E17" s="2"/>
      <c r="F17" s="2"/>
      <c r="G17" s="6">
        <v>50</v>
      </c>
      <c r="H17" t="b">
        <f t="shared" si="0"/>
        <v>0</v>
      </c>
      <c r="I17" t="b">
        <f t="shared" si="1"/>
        <v>0</v>
      </c>
      <c r="J17" t="b">
        <f t="shared" si="2"/>
        <v>0</v>
      </c>
    </row>
    <row r="18" spans="1:10" x14ac:dyDescent="0.25">
      <c r="A18" t="s">
        <v>19</v>
      </c>
      <c r="B18" t="b">
        <v>0</v>
      </c>
      <c r="E18" s="2"/>
      <c r="F18" s="2"/>
      <c r="G18" s="6">
        <v>16</v>
      </c>
      <c r="H18" t="b">
        <f t="shared" si="0"/>
        <v>0</v>
      </c>
      <c r="I18" t="b">
        <f t="shared" si="1"/>
        <v>0</v>
      </c>
      <c r="J18" t="b">
        <f t="shared" si="2"/>
        <v>0</v>
      </c>
    </row>
    <row r="19" spans="1:10" x14ac:dyDescent="0.25">
      <c r="A19" t="s">
        <v>20</v>
      </c>
      <c r="B19" t="b">
        <v>0</v>
      </c>
      <c r="E19" s="2"/>
      <c r="F19" s="2"/>
      <c r="G19" s="6">
        <v>50</v>
      </c>
      <c r="H19" t="b">
        <f t="shared" si="0"/>
        <v>0</v>
      </c>
      <c r="I19" t="b">
        <f t="shared" si="1"/>
        <v>0</v>
      </c>
      <c r="J19" t="b">
        <f t="shared" si="2"/>
        <v>0</v>
      </c>
    </row>
    <row r="20" spans="1:10" x14ac:dyDescent="0.25">
      <c r="A20" t="s">
        <v>21</v>
      </c>
      <c r="B20" t="b">
        <v>1</v>
      </c>
      <c r="C20">
        <v>58</v>
      </c>
      <c r="D20">
        <v>58</v>
      </c>
      <c r="E20" s="2">
        <v>85.439330543932996</v>
      </c>
      <c r="F20" s="2">
        <v>84.347826086956502</v>
      </c>
      <c r="G20" s="6">
        <v>21</v>
      </c>
      <c r="H20" t="b">
        <f t="shared" si="0"/>
        <v>1</v>
      </c>
      <c r="I20" t="b">
        <f t="shared" si="1"/>
        <v>1</v>
      </c>
      <c r="J20" t="b">
        <f t="shared" si="2"/>
        <v>1</v>
      </c>
    </row>
    <row r="21" spans="1:10" x14ac:dyDescent="0.25">
      <c r="A21" t="s">
        <v>22</v>
      </c>
      <c r="B21" t="b">
        <v>1</v>
      </c>
      <c r="C21">
        <v>2</v>
      </c>
      <c r="D21">
        <v>2</v>
      </c>
      <c r="E21" s="2">
        <v>81.125541125541105</v>
      </c>
      <c r="F21" s="2">
        <v>1.4492753623188399</v>
      </c>
      <c r="G21" s="6">
        <v>50</v>
      </c>
      <c r="H21" t="b">
        <f t="shared" si="0"/>
        <v>1</v>
      </c>
      <c r="I21" t="b">
        <f t="shared" si="1"/>
        <v>1</v>
      </c>
      <c r="J21" t="b">
        <f t="shared" si="2"/>
        <v>0</v>
      </c>
    </row>
    <row r="22" spans="1:10" x14ac:dyDescent="0.25">
      <c r="A22" t="s">
        <v>23</v>
      </c>
      <c r="B22" t="b">
        <v>0</v>
      </c>
      <c r="E22" s="2"/>
      <c r="F22" s="2"/>
      <c r="G22" s="6">
        <v>11</v>
      </c>
      <c r="H22" t="b">
        <f t="shared" si="0"/>
        <v>0</v>
      </c>
      <c r="I22" t="b">
        <f t="shared" si="1"/>
        <v>0</v>
      </c>
      <c r="J22" t="b">
        <f t="shared" si="2"/>
        <v>0</v>
      </c>
    </row>
    <row r="23" spans="1:10" x14ac:dyDescent="0.25">
      <c r="A23" t="s">
        <v>24</v>
      </c>
      <c r="B23" t="b">
        <v>1</v>
      </c>
      <c r="C23">
        <v>98</v>
      </c>
      <c r="D23">
        <v>88</v>
      </c>
      <c r="E23" s="2">
        <v>86.762110217689695</v>
      </c>
      <c r="F23" s="2">
        <v>79.862475442043205</v>
      </c>
      <c r="G23" s="6">
        <v>50</v>
      </c>
      <c r="H23" t="b">
        <f t="shared" si="0"/>
        <v>1</v>
      </c>
      <c r="I23" t="b">
        <f t="shared" si="1"/>
        <v>0</v>
      </c>
      <c r="J23" t="b">
        <f t="shared" si="2"/>
        <v>0</v>
      </c>
    </row>
    <row r="24" spans="1:10" x14ac:dyDescent="0.25">
      <c r="A24" t="s">
        <v>25</v>
      </c>
      <c r="B24" t="b">
        <v>0</v>
      </c>
      <c r="E24" s="2"/>
      <c r="F24" s="2"/>
      <c r="G24" s="6">
        <v>45</v>
      </c>
      <c r="H24" t="b">
        <f t="shared" si="0"/>
        <v>0</v>
      </c>
      <c r="I24" t="b">
        <f t="shared" si="1"/>
        <v>0</v>
      </c>
      <c r="J24" t="b">
        <f t="shared" si="2"/>
        <v>0</v>
      </c>
    </row>
    <row r="25" spans="1:10" x14ac:dyDescent="0.25">
      <c r="A25" t="s">
        <v>26</v>
      </c>
      <c r="B25" t="b">
        <v>0</v>
      </c>
      <c r="E25" s="2"/>
      <c r="F25" s="2"/>
      <c r="G25" s="6">
        <v>7</v>
      </c>
      <c r="H25" t="b">
        <f t="shared" si="0"/>
        <v>0</v>
      </c>
      <c r="I25" t="b">
        <f t="shared" si="1"/>
        <v>0</v>
      </c>
      <c r="J25" t="b">
        <f t="shared" si="2"/>
        <v>0</v>
      </c>
    </row>
    <row r="26" spans="1:10" x14ac:dyDescent="0.25">
      <c r="A26" t="s">
        <v>27</v>
      </c>
      <c r="B26" t="b">
        <v>0</v>
      </c>
      <c r="E26" s="2"/>
      <c r="F26" s="2"/>
      <c r="G26" s="6">
        <v>50</v>
      </c>
      <c r="H26" t="b">
        <f t="shared" si="0"/>
        <v>0</v>
      </c>
      <c r="I26" t="b">
        <f t="shared" si="1"/>
        <v>0</v>
      </c>
      <c r="J26" t="b">
        <f t="shared" si="2"/>
        <v>0</v>
      </c>
    </row>
    <row r="27" spans="1:10" x14ac:dyDescent="0.25">
      <c r="A27" t="s">
        <v>28</v>
      </c>
      <c r="B27" t="b">
        <v>1</v>
      </c>
      <c r="C27">
        <v>76</v>
      </c>
      <c r="D27">
        <v>24</v>
      </c>
      <c r="E27" s="2">
        <v>38.6666666666666</v>
      </c>
      <c r="F27" s="2">
        <v>38.6666666666666</v>
      </c>
      <c r="G27" s="6">
        <v>1</v>
      </c>
      <c r="H27" t="b">
        <f t="shared" si="0"/>
        <v>1</v>
      </c>
      <c r="I27" t="b">
        <f t="shared" si="1"/>
        <v>0</v>
      </c>
      <c r="J27" t="b">
        <f t="shared" si="2"/>
        <v>0</v>
      </c>
    </row>
    <row r="28" spans="1:10" x14ac:dyDescent="0.25">
      <c r="A28" t="s">
        <v>29</v>
      </c>
      <c r="B28" t="b">
        <v>1</v>
      </c>
      <c r="C28">
        <v>76</v>
      </c>
      <c r="D28">
        <v>76</v>
      </c>
      <c r="E28" s="2">
        <v>94</v>
      </c>
      <c r="F28" s="2">
        <v>94</v>
      </c>
      <c r="G28" s="6">
        <v>10</v>
      </c>
      <c r="H28" t="b">
        <f t="shared" si="0"/>
        <v>1</v>
      </c>
      <c r="I28" t="b">
        <f t="shared" si="1"/>
        <v>1</v>
      </c>
      <c r="J28" t="b">
        <f t="shared" si="2"/>
        <v>1</v>
      </c>
    </row>
    <row r="29" spans="1:10" x14ac:dyDescent="0.25">
      <c r="A29" t="s">
        <v>30</v>
      </c>
      <c r="B29" t="b">
        <v>1</v>
      </c>
      <c r="C29">
        <v>920</v>
      </c>
      <c r="D29">
        <v>912</v>
      </c>
      <c r="E29" s="2">
        <v>69.306021104903706</v>
      </c>
      <c r="F29" s="2">
        <v>69.306021104903706</v>
      </c>
      <c r="G29" s="6">
        <v>16</v>
      </c>
      <c r="H29" t="b">
        <f t="shared" si="0"/>
        <v>1</v>
      </c>
      <c r="I29" t="b">
        <f t="shared" si="1"/>
        <v>0</v>
      </c>
      <c r="J29" t="b">
        <f t="shared" si="2"/>
        <v>0</v>
      </c>
    </row>
    <row r="30" spans="1:10" x14ac:dyDescent="0.25">
      <c r="A30" t="s">
        <v>31</v>
      </c>
      <c r="B30" t="b">
        <v>1</v>
      </c>
      <c r="C30">
        <v>24</v>
      </c>
      <c r="D30">
        <v>18</v>
      </c>
      <c r="E30" s="2">
        <v>34.829059829059801</v>
      </c>
      <c r="F30" s="2">
        <v>34.829059829059801</v>
      </c>
      <c r="G30" s="6">
        <v>20</v>
      </c>
      <c r="H30" t="b">
        <f t="shared" si="0"/>
        <v>1</v>
      </c>
      <c r="I30" t="b">
        <f t="shared" si="1"/>
        <v>0</v>
      </c>
      <c r="J30" t="b">
        <f t="shared" si="2"/>
        <v>0</v>
      </c>
    </row>
    <row r="31" spans="1:10" x14ac:dyDescent="0.25">
      <c r="B31" s="3"/>
      <c r="G31" s="2">
        <f>AVERAGE(G2:G30)</f>
        <v>30</v>
      </c>
      <c r="H31" s="3">
        <f>COUNTIF(H2:H30,TRUE)/COUNTIF(H2:H30,"&lt;&gt;")</f>
        <v>0.48275862068965519</v>
      </c>
      <c r="I31" s="3">
        <f t="shared" ref="I31:J31" si="3">COUNTIF(I2:I30,TRUE)/COUNTIF(I2:I30,"&lt;&gt;")</f>
        <v>0.20689655172413793</v>
      </c>
      <c r="J31" s="3">
        <f t="shared" si="3"/>
        <v>0.17241379310344829</v>
      </c>
    </row>
  </sheetData>
  <conditionalFormatting sqref="H2:J31">
    <cfRule type="cellIs" dxfId="4" priority="2" operator="equal">
      <formula>TRUE</formula>
    </cfRule>
  </conditionalFormatting>
  <conditionalFormatting sqref="B31">
    <cfRule type="cellIs" dxfId="3" priority="1" operator="equal">
      <formula>TRUE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63ED-27F3-4CA2-8C59-6E21B1E7FDD4}">
  <dimension ref="A1:J32"/>
  <sheetViews>
    <sheetView tabSelected="1" zoomScale="115" zoomScaleNormal="115" workbookViewId="0">
      <selection activeCell="M29" sqref="M29"/>
    </sheetView>
  </sheetViews>
  <sheetFormatPr defaultRowHeight="15" x14ac:dyDescent="0.25"/>
  <cols>
    <col min="3" max="3" width="14.28515625" bestFit="1" customWidth="1"/>
  </cols>
  <sheetData>
    <row r="1" spans="1:10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33</v>
      </c>
      <c r="F1" s="1" t="s">
        <v>34</v>
      </c>
      <c r="G1" s="1" t="s">
        <v>39</v>
      </c>
      <c r="H1" s="1" t="s">
        <v>35</v>
      </c>
      <c r="I1" s="1" t="s">
        <v>36</v>
      </c>
      <c r="J1" s="1" t="s">
        <v>37</v>
      </c>
    </row>
    <row r="2" spans="1:10" x14ac:dyDescent="0.25">
      <c r="A2" s="4" t="s">
        <v>32</v>
      </c>
      <c r="B2" s="4" t="b">
        <v>0</v>
      </c>
      <c r="C2" s="4">
        <v>462</v>
      </c>
      <c r="D2" s="4"/>
      <c r="E2" s="4"/>
      <c r="F2" s="4"/>
      <c r="G2" s="6">
        <v>7</v>
      </c>
      <c r="H2" s="4" t="b">
        <f>IF(B2,TRUE,FALSE)</f>
        <v>0</v>
      </c>
      <c r="I2" s="4" t="b">
        <f>IF(AND(H2,C2=D2),TRUE,FALSE)</f>
        <v>0</v>
      </c>
      <c r="J2" s="4" t="b">
        <f>IF(AND(H2,I2,(E2-F2)&lt;=5),TRUE,FALSE)</f>
        <v>0</v>
      </c>
    </row>
    <row r="3" spans="1:10" x14ac:dyDescent="0.25">
      <c r="A3" t="s">
        <v>3</v>
      </c>
      <c r="B3" t="b">
        <v>1</v>
      </c>
      <c r="C3">
        <v>866</v>
      </c>
      <c r="D3">
        <v>806</v>
      </c>
      <c r="E3" s="2">
        <v>59.226949402764703</v>
      </c>
      <c r="F3" s="2">
        <v>59.226949402764703</v>
      </c>
      <c r="G3" s="6">
        <v>13</v>
      </c>
      <c r="H3" t="b">
        <f>IF(B3,TRUE,FALSE)</f>
        <v>1</v>
      </c>
      <c r="I3" t="b">
        <f>IF(AND(H3,C3=D3),TRUE,FALSE)</f>
        <v>0</v>
      </c>
      <c r="J3" t="b">
        <f>IF(AND(H3,I3,(E3-F3)&lt;=5),TRUE,FALSE)</f>
        <v>0</v>
      </c>
    </row>
    <row r="4" spans="1:10" x14ac:dyDescent="0.25">
      <c r="A4" t="s">
        <v>4</v>
      </c>
      <c r="B4" t="b">
        <v>1</v>
      </c>
      <c r="C4">
        <v>26</v>
      </c>
      <c r="D4">
        <v>0</v>
      </c>
      <c r="E4" s="2"/>
      <c r="F4" s="2"/>
      <c r="G4" s="6">
        <v>15</v>
      </c>
      <c r="H4" t="b">
        <f>IF(B4,TRUE,FALSE)</f>
        <v>1</v>
      </c>
      <c r="I4" t="b">
        <f>IF(AND(H4,C4=D4),TRUE,FALSE)</f>
        <v>0</v>
      </c>
      <c r="J4" t="b">
        <f>IF(AND(H4,I4,(E4-F4)&lt;=5),TRUE,FALSE)</f>
        <v>0</v>
      </c>
    </row>
    <row r="5" spans="1:10" x14ac:dyDescent="0.25">
      <c r="A5" t="s">
        <v>5</v>
      </c>
      <c r="B5" t="b">
        <v>1</v>
      </c>
      <c r="C5">
        <v>384</v>
      </c>
      <c r="D5">
        <v>384</v>
      </c>
      <c r="E5" s="2">
        <v>84.103512014787398</v>
      </c>
      <c r="F5" s="2">
        <v>84.092526690391395</v>
      </c>
      <c r="G5" s="6">
        <v>10</v>
      </c>
      <c r="H5" t="b">
        <f>IF(B5,TRUE,FALSE)</f>
        <v>1</v>
      </c>
      <c r="I5" t="b">
        <f>IF(AND(H5,C5=D5),TRUE,FALSE)</f>
        <v>1</v>
      </c>
      <c r="J5" t="b">
        <f>IF(AND(H5,I5,(E5-F5)&lt;=5),TRUE,FALSE)</f>
        <v>1</v>
      </c>
    </row>
    <row r="6" spans="1:10" x14ac:dyDescent="0.25">
      <c r="A6" t="s">
        <v>6</v>
      </c>
      <c r="B6" t="b">
        <v>0</v>
      </c>
      <c r="E6" s="2"/>
      <c r="F6" s="2"/>
      <c r="G6" s="6">
        <v>36</v>
      </c>
      <c r="H6" t="b">
        <f>IF(B6,TRUE,FALSE)</f>
        <v>0</v>
      </c>
      <c r="I6" t="b">
        <f>IF(AND(H6,C6=D6),TRUE,FALSE)</f>
        <v>0</v>
      </c>
      <c r="J6" t="b">
        <f>IF(AND(H6,I6,(E6-F6)&lt;=5),TRUE,FALSE)</f>
        <v>0</v>
      </c>
    </row>
    <row r="7" spans="1:10" x14ac:dyDescent="0.25">
      <c r="A7" t="s">
        <v>7</v>
      </c>
      <c r="B7" t="b">
        <v>1</v>
      </c>
      <c r="C7">
        <v>52</v>
      </c>
      <c r="D7">
        <v>40</v>
      </c>
      <c r="E7" s="2">
        <v>63.338926174496599</v>
      </c>
      <c r="F7" s="2">
        <v>22.045264040234699</v>
      </c>
      <c r="G7" s="6">
        <v>39</v>
      </c>
      <c r="H7" t="b">
        <f>IF(B7,TRUE,FALSE)</f>
        <v>1</v>
      </c>
      <c r="I7" t="b">
        <f>IF(AND(H7,C7=D7),TRUE,FALSE)</f>
        <v>0</v>
      </c>
      <c r="J7" t="b">
        <f>IF(AND(H7,I7,(E7-F7)&lt;=5),TRUE,FALSE)</f>
        <v>0</v>
      </c>
    </row>
    <row r="8" spans="1:10" x14ac:dyDescent="0.25">
      <c r="A8" t="s">
        <v>8</v>
      </c>
      <c r="B8" t="b">
        <v>0</v>
      </c>
      <c r="E8" s="2"/>
      <c r="F8" s="2"/>
      <c r="G8" s="6">
        <v>50</v>
      </c>
      <c r="H8" t="b">
        <f>IF(B8,TRUE,FALSE)</f>
        <v>0</v>
      </c>
      <c r="I8" t="b">
        <f>IF(AND(H8,C8=D8),TRUE,FALSE)</f>
        <v>0</v>
      </c>
      <c r="J8" t="b">
        <f>IF(AND(H8,I8,(E8-F8)&lt;=5),TRUE,FALSE)</f>
        <v>0</v>
      </c>
    </row>
    <row r="9" spans="1:10" x14ac:dyDescent="0.25">
      <c r="A9" t="s">
        <v>9</v>
      </c>
      <c r="B9" t="b">
        <v>1</v>
      </c>
      <c r="C9">
        <v>950</v>
      </c>
      <c r="D9">
        <v>950</v>
      </c>
      <c r="E9" s="2">
        <v>88.126605913325207</v>
      </c>
      <c r="F9" s="2">
        <v>91.178829190056106</v>
      </c>
      <c r="G9" s="6">
        <v>13</v>
      </c>
      <c r="H9" t="b">
        <f>IF(B9,TRUE,FALSE)</f>
        <v>1</v>
      </c>
      <c r="I9" t="b">
        <f>IF(AND(H9,C9=D9),TRUE,FALSE)</f>
        <v>1</v>
      </c>
      <c r="J9" t="b">
        <f>IF(AND(H9,I9,(E9-F9)&lt;=5),TRUE,FALSE)</f>
        <v>1</v>
      </c>
    </row>
    <row r="10" spans="1:10" x14ac:dyDescent="0.25">
      <c r="A10" t="s">
        <v>10</v>
      </c>
      <c r="B10" t="b">
        <v>0</v>
      </c>
      <c r="D10">
        <v>0</v>
      </c>
      <c r="E10" s="2"/>
      <c r="F10" s="2"/>
      <c r="G10" s="6">
        <v>50</v>
      </c>
      <c r="H10" t="b">
        <f>IF(B10,TRUE,FALSE)</f>
        <v>0</v>
      </c>
      <c r="I10" t="b">
        <f>IF(AND(H10,C10=D10),TRUE,FALSE)</f>
        <v>0</v>
      </c>
      <c r="J10" t="b">
        <f>IF(AND(H10,I10,(E10-F10)&lt;=5),TRUE,FALSE)</f>
        <v>0</v>
      </c>
    </row>
    <row r="11" spans="1:10" x14ac:dyDescent="0.25">
      <c r="A11" t="s">
        <v>11</v>
      </c>
      <c r="B11" t="b">
        <v>1</v>
      </c>
      <c r="C11">
        <v>152</v>
      </c>
      <c r="D11">
        <v>152</v>
      </c>
      <c r="E11" s="2">
        <v>71.581316826111404</v>
      </c>
      <c r="F11" s="2">
        <v>65.181058495821702</v>
      </c>
      <c r="G11" s="6">
        <v>32</v>
      </c>
      <c r="H11" t="b">
        <f>IF(B11,TRUE,FALSE)</f>
        <v>1</v>
      </c>
      <c r="I11" t="b">
        <f>IF(AND(H11,C11=D11),TRUE,FALSE)</f>
        <v>1</v>
      </c>
      <c r="J11" t="b">
        <f>IF(AND(H11,I11,(E11-F11)&lt;=5),TRUE,FALSE)</f>
        <v>0</v>
      </c>
    </row>
    <row r="12" spans="1:10" x14ac:dyDescent="0.25">
      <c r="A12" t="s">
        <v>12</v>
      </c>
      <c r="B12" t="b">
        <v>1</v>
      </c>
      <c r="C12">
        <v>10</v>
      </c>
      <c r="D12">
        <v>10</v>
      </c>
      <c r="E12" s="2">
        <v>65.868263473053801</v>
      </c>
      <c r="F12" s="2">
        <v>65.868263473053801</v>
      </c>
      <c r="G12" s="6">
        <v>5</v>
      </c>
      <c r="H12" t="b">
        <f>IF(B12,TRUE,FALSE)</f>
        <v>1</v>
      </c>
      <c r="I12" t="b">
        <f>IF(AND(H12,C12=D12),TRUE,FALSE)</f>
        <v>1</v>
      </c>
      <c r="J12" t="b">
        <f>IF(AND(H12,I12,(E12-F12)&lt;=5),TRUE,FALSE)</f>
        <v>1</v>
      </c>
    </row>
    <row r="13" spans="1:10" x14ac:dyDescent="0.25">
      <c r="A13" t="s">
        <v>13</v>
      </c>
      <c r="B13" t="b">
        <v>1</v>
      </c>
      <c r="C13">
        <v>230</v>
      </c>
      <c r="D13">
        <v>230</v>
      </c>
      <c r="E13" s="2">
        <v>87.525208873523397</v>
      </c>
      <c r="F13" s="2">
        <v>87.299270072992698</v>
      </c>
      <c r="G13" s="6">
        <v>16</v>
      </c>
      <c r="H13" t="b">
        <f>IF(B13,TRUE,FALSE)</f>
        <v>1</v>
      </c>
      <c r="I13" t="b">
        <f>IF(AND(H13,C13=D13),TRUE,FALSE)</f>
        <v>1</v>
      </c>
      <c r="J13" t="b">
        <f>IF(AND(H13,I13,(E13-F13)&lt;=5),TRUE,FALSE)</f>
        <v>1</v>
      </c>
    </row>
    <row r="14" spans="1:10" x14ac:dyDescent="0.25">
      <c r="A14" t="s">
        <v>14</v>
      </c>
      <c r="B14" t="b">
        <v>1</v>
      </c>
      <c r="C14">
        <v>105</v>
      </c>
      <c r="D14">
        <v>44</v>
      </c>
      <c r="E14" s="2">
        <v>62.539682539682502</v>
      </c>
      <c r="F14" s="2">
        <v>37.619047619047599</v>
      </c>
      <c r="G14" s="6">
        <v>12</v>
      </c>
      <c r="H14" t="b">
        <f>IF(B14,TRUE,FALSE)</f>
        <v>1</v>
      </c>
      <c r="I14" t="b">
        <f>IF(AND(H14,C14=D14),TRUE,FALSE)</f>
        <v>0</v>
      </c>
      <c r="J14" t="b">
        <f>IF(AND(H14,I14,(E14-F14)&lt;=5),TRUE,FALSE)</f>
        <v>0</v>
      </c>
    </row>
    <row r="15" spans="1:10" x14ac:dyDescent="0.25">
      <c r="A15" t="s">
        <v>15</v>
      </c>
      <c r="B15" t="b">
        <v>0</v>
      </c>
      <c r="C15">
        <v>15</v>
      </c>
      <c r="D15">
        <v>0</v>
      </c>
      <c r="E15" s="2"/>
      <c r="F15" s="2"/>
      <c r="G15" s="6">
        <v>9</v>
      </c>
      <c r="H15" t="b">
        <v>1</v>
      </c>
      <c r="I15" t="b">
        <f>IF(AND(H15,C15=D15),TRUE,FALSE)</f>
        <v>0</v>
      </c>
      <c r="J15" t="b">
        <f>IF(AND(H15,I15,(E15-F15)&lt;=5),TRUE,FALSE)</f>
        <v>0</v>
      </c>
    </row>
    <row r="16" spans="1:10" x14ac:dyDescent="0.25">
      <c r="A16" t="s">
        <v>16</v>
      </c>
      <c r="B16" t="b">
        <v>0</v>
      </c>
      <c r="C16">
        <v>51</v>
      </c>
      <c r="D16">
        <v>0</v>
      </c>
      <c r="E16" s="2"/>
      <c r="F16" s="2"/>
      <c r="G16" s="6">
        <v>41</v>
      </c>
      <c r="H16" t="b">
        <f>IF(B16,TRUE,FALSE)</f>
        <v>0</v>
      </c>
      <c r="I16" t="b">
        <f>IF(AND(H16,C16=D16),TRUE,FALSE)</f>
        <v>0</v>
      </c>
      <c r="J16" t="b">
        <f>IF(AND(H16,I16,(E16-F16)&lt;=5),TRUE,FALSE)</f>
        <v>0</v>
      </c>
    </row>
    <row r="17" spans="1:10" x14ac:dyDescent="0.25">
      <c r="A17" t="s">
        <v>17</v>
      </c>
      <c r="B17" t="b">
        <v>0</v>
      </c>
      <c r="C17">
        <v>34</v>
      </c>
      <c r="D17">
        <v>0</v>
      </c>
      <c r="E17" s="2"/>
      <c r="F17" s="2"/>
      <c r="G17" s="6">
        <v>43</v>
      </c>
      <c r="H17" t="b">
        <f>IF(B17,TRUE,FALSE)</f>
        <v>0</v>
      </c>
      <c r="I17" t="b">
        <f>IF(AND(H17,C17=D17),TRUE,FALSE)</f>
        <v>0</v>
      </c>
      <c r="J17" t="b">
        <f>IF(AND(H17,I17,(E17-F17)&lt;=5),TRUE,FALSE)</f>
        <v>0</v>
      </c>
    </row>
    <row r="18" spans="1:10" x14ac:dyDescent="0.25">
      <c r="A18" t="s">
        <v>18</v>
      </c>
      <c r="B18" t="b">
        <v>0</v>
      </c>
      <c r="C18">
        <v>48</v>
      </c>
      <c r="D18">
        <v>0</v>
      </c>
      <c r="E18" s="2"/>
      <c r="F18" s="2"/>
      <c r="G18" s="6">
        <v>36</v>
      </c>
      <c r="H18" t="b">
        <f>IF(B18,TRUE,FALSE)</f>
        <v>0</v>
      </c>
      <c r="I18" t="b">
        <f>IF(AND(H18,C18=D18),TRUE,FALSE)</f>
        <v>0</v>
      </c>
      <c r="J18" t="b">
        <f>IF(AND(H18,I18,(E18-F18)&lt;=5),TRUE,FALSE)</f>
        <v>0</v>
      </c>
    </row>
    <row r="19" spans="1:10" x14ac:dyDescent="0.25">
      <c r="A19" t="s">
        <v>19</v>
      </c>
      <c r="B19" t="b">
        <v>0</v>
      </c>
      <c r="C19">
        <v>365</v>
      </c>
      <c r="E19" s="2"/>
      <c r="F19" s="2"/>
      <c r="G19" s="6">
        <v>41</v>
      </c>
      <c r="H19" t="b">
        <f>IF(B19,TRUE,FALSE)</f>
        <v>0</v>
      </c>
      <c r="I19" t="b">
        <f>IF(AND(H19,C19=D19),TRUE,FALSE)</f>
        <v>0</v>
      </c>
      <c r="J19" t="b">
        <f>IF(AND(H19,I19,(E19-F19)&lt;=5),TRUE,FALSE)</f>
        <v>0</v>
      </c>
    </row>
    <row r="20" spans="1:10" x14ac:dyDescent="0.25">
      <c r="A20" t="s">
        <v>20</v>
      </c>
      <c r="B20" t="b">
        <v>0</v>
      </c>
      <c r="C20">
        <v>38</v>
      </c>
      <c r="D20">
        <v>0</v>
      </c>
      <c r="E20" s="2"/>
      <c r="F20" s="2"/>
      <c r="G20" s="6">
        <v>50</v>
      </c>
      <c r="H20" t="b">
        <f>IF(B20,TRUE,FALSE)</f>
        <v>0</v>
      </c>
      <c r="I20" t="b">
        <f>IF(AND(H20,C20=D20),TRUE,FALSE)</f>
        <v>0</v>
      </c>
      <c r="J20" t="b">
        <f>IF(AND(H20,I20,(E20-F20)&lt;=5),TRUE,FALSE)</f>
        <v>0</v>
      </c>
    </row>
    <row r="21" spans="1:10" x14ac:dyDescent="0.25">
      <c r="A21" t="s">
        <v>21</v>
      </c>
      <c r="B21" t="b">
        <v>1</v>
      </c>
      <c r="C21">
        <v>58</v>
      </c>
      <c r="D21">
        <v>58</v>
      </c>
      <c r="E21" s="2">
        <v>85.439330543932996</v>
      </c>
      <c r="F21" s="2">
        <v>84.347826086956502</v>
      </c>
      <c r="G21" s="6">
        <v>17</v>
      </c>
      <c r="H21" t="b">
        <f>IF(B21,TRUE,FALSE)</f>
        <v>1</v>
      </c>
      <c r="I21" t="b">
        <f>IF(AND(H21,C21=D21),TRUE,FALSE)</f>
        <v>1</v>
      </c>
      <c r="J21" t="b">
        <f>IF(AND(H21,I21,(E21-F21)&lt;=5),TRUE,FALSE)</f>
        <v>1</v>
      </c>
    </row>
    <row r="22" spans="1:10" x14ac:dyDescent="0.25">
      <c r="A22" t="s">
        <v>22</v>
      </c>
      <c r="B22" t="b">
        <v>1</v>
      </c>
      <c r="C22">
        <v>2</v>
      </c>
      <c r="D22">
        <v>2</v>
      </c>
      <c r="E22" s="2">
        <v>81.125541125541105</v>
      </c>
      <c r="F22" s="2">
        <v>1.4492753623188399</v>
      </c>
      <c r="G22" s="6">
        <v>34</v>
      </c>
      <c r="H22" t="b">
        <f>IF(B22,TRUE,FALSE)</f>
        <v>1</v>
      </c>
      <c r="I22" t="b">
        <f>IF(AND(H22,C22=D22),TRUE,FALSE)</f>
        <v>1</v>
      </c>
      <c r="J22" t="b">
        <f>IF(AND(H22,I22,(E22-F22)&lt;=5),TRUE,FALSE)</f>
        <v>0</v>
      </c>
    </row>
    <row r="23" spans="1:10" x14ac:dyDescent="0.25">
      <c r="A23" t="s">
        <v>23</v>
      </c>
      <c r="B23" t="b">
        <v>0</v>
      </c>
      <c r="C23">
        <v>2</v>
      </c>
      <c r="D23">
        <v>0</v>
      </c>
      <c r="E23" s="2"/>
      <c r="F23" s="2"/>
      <c r="G23" s="6">
        <v>49</v>
      </c>
      <c r="H23" t="b">
        <f>IF(B23,TRUE,FALSE)</f>
        <v>0</v>
      </c>
      <c r="I23" t="b">
        <f>IF(AND(H23,C23=D23),TRUE,FALSE)</f>
        <v>0</v>
      </c>
      <c r="J23" t="b">
        <f>IF(AND(H23,I23,(E23-F23)&lt;=5),TRUE,FALSE)</f>
        <v>0</v>
      </c>
    </row>
    <row r="24" spans="1:10" x14ac:dyDescent="0.25">
      <c r="A24" t="s">
        <v>24</v>
      </c>
      <c r="B24" t="b">
        <v>0</v>
      </c>
      <c r="C24">
        <v>98</v>
      </c>
      <c r="D24">
        <v>88</v>
      </c>
      <c r="E24" s="2"/>
      <c r="F24" s="2"/>
      <c r="G24" s="6">
        <v>50</v>
      </c>
      <c r="H24" t="b">
        <f>IF(B24,TRUE,FALSE)</f>
        <v>0</v>
      </c>
      <c r="I24" t="b">
        <f>IF(AND(H24,C24=D24),TRUE,FALSE)</f>
        <v>0</v>
      </c>
      <c r="J24" t="b">
        <f>IF(AND(H24,I24,(E24-F24)&lt;=5),TRUE,FALSE)</f>
        <v>0</v>
      </c>
    </row>
    <row r="25" spans="1:10" x14ac:dyDescent="0.25">
      <c r="A25" t="s">
        <v>25</v>
      </c>
      <c r="B25" t="b">
        <v>0</v>
      </c>
      <c r="C25">
        <v>47</v>
      </c>
      <c r="D25">
        <v>0</v>
      </c>
      <c r="E25" s="2"/>
      <c r="F25" s="2"/>
      <c r="G25" s="6">
        <v>46</v>
      </c>
      <c r="H25" t="b">
        <f>IF(B25,TRUE,FALSE)</f>
        <v>0</v>
      </c>
      <c r="I25" t="b">
        <f>IF(AND(H25,C25=D25),TRUE,FALSE)</f>
        <v>0</v>
      </c>
      <c r="J25" t="b">
        <f>IF(AND(H25,I25,(E25-F25)&lt;=5),TRUE,FALSE)</f>
        <v>0</v>
      </c>
    </row>
    <row r="26" spans="1:10" x14ac:dyDescent="0.25">
      <c r="A26" t="s">
        <v>26</v>
      </c>
      <c r="B26" t="b">
        <v>0</v>
      </c>
      <c r="C26">
        <v>237</v>
      </c>
      <c r="D26">
        <v>0</v>
      </c>
      <c r="E26" s="2"/>
      <c r="F26" s="2"/>
      <c r="G26" s="6">
        <v>41</v>
      </c>
      <c r="H26" t="b">
        <f>IF(B26,TRUE,FALSE)</f>
        <v>0</v>
      </c>
      <c r="I26" t="b">
        <f>IF(AND(H26,C26=D26),TRUE,FALSE)</f>
        <v>0</v>
      </c>
      <c r="J26" t="b">
        <f>IF(AND(H26,I26,(E26-F26)&lt;=5),TRUE,FALSE)</f>
        <v>0</v>
      </c>
    </row>
    <row r="27" spans="1:10" x14ac:dyDescent="0.25">
      <c r="A27" t="s">
        <v>27</v>
      </c>
      <c r="B27" t="b">
        <v>0</v>
      </c>
      <c r="C27">
        <v>11</v>
      </c>
      <c r="D27">
        <v>0</v>
      </c>
      <c r="E27" s="2"/>
      <c r="F27" s="2"/>
      <c r="G27" s="6">
        <v>50</v>
      </c>
      <c r="H27" t="b">
        <f>IF(B27,TRUE,FALSE)</f>
        <v>0</v>
      </c>
      <c r="I27" t="b">
        <f>IF(AND(H27,C27=D27),TRUE,FALSE)</f>
        <v>0</v>
      </c>
      <c r="J27" t="b">
        <f>IF(AND(H27,I27,(E27-F27)&lt;=5),TRUE,FALSE)</f>
        <v>0</v>
      </c>
    </row>
    <row r="28" spans="1:10" x14ac:dyDescent="0.25">
      <c r="A28" t="s">
        <v>28</v>
      </c>
      <c r="B28" t="b">
        <v>0</v>
      </c>
      <c r="C28">
        <v>76</v>
      </c>
      <c r="D28">
        <v>24</v>
      </c>
      <c r="E28" s="2"/>
      <c r="F28" s="2"/>
      <c r="G28" s="6">
        <v>50</v>
      </c>
      <c r="H28" t="b">
        <f>IF(B28,TRUE,FALSE)</f>
        <v>0</v>
      </c>
      <c r="I28" t="b">
        <f>IF(AND(H28,C28=D28),TRUE,FALSE)</f>
        <v>0</v>
      </c>
      <c r="J28" t="b">
        <f>IF(AND(H28,I28,(E28-F28)&lt;=5),TRUE,FALSE)</f>
        <v>0</v>
      </c>
    </row>
    <row r="29" spans="1:10" x14ac:dyDescent="0.25">
      <c r="A29" t="s">
        <v>29</v>
      </c>
      <c r="B29" t="b">
        <v>1</v>
      </c>
      <c r="C29">
        <v>76</v>
      </c>
      <c r="D29">
        <v>76</v>
      </c>
      <c r="E29" s="2">
        <v>94</v>
      </c>
      <c r="F29" s="2">
        <v>94</v>
      </c>
      <c r="G29" s="6">
        <v>23</v>
      </c>
      <c r="H29" t="b">
        <f>IF(B29,TRUE,FALSE)</f>
        <v>1</v>
      </c>
      <c r="I29" t="b">
        <f>IF(AND(H29,C29=D29),TRUE,FALSE)</f>
        <v>1</v>
      </c>
      <c r="J29" t="b">
        <f>IF(AND(H29,I29,(E29-F29)&lt;=5),TRUE,FALSE)</f>
        <v>1</v>
      </c>
    </row>
    <row r="30" spans="1:10" x14ac:dyDescent="0.25">
      <c r="A30" t="s">
        <v>30</v>
      </c>
      <c r="B30" t="b">
        <v>1</v>
      </c>
      <c r="C30">
        <v>920</v>
      </c>
      <c r="D30">
        <v>912</v>
      </c>
      <c r="E30" s="2">
        <v>69.306021104903706</v>
      </c>
      <c r="F30" s="2">
        <v>69.306021104903706</v>
      </c>
      <c r="G30" s="6">
        <v>26</v>
      </c>
      <c r="H30" t="b">
        <f>IF(B30,TRUE,FALSE)</f>
        <v>1</v>
      </c>
      <c r="I30" t="b">
        <f>IF(AND(H30,C30=D30),TRUE,FALSE)</f>
        <v>0</v>
      </c>
      <c r="J30" t="b">
        <f>IF(AND(H30,I30,(E30-F30)&lt;=5),TRUE,FALSE)</f>
        <v>0</v>
      </c>
    </row>
    <row r="31" spans="1:10" x14ac:dyDescent="0.25">
      <c r="A31" t="s">
        <v>31</v>
      </c>
      <c r="B31" t="b">
        <v>0</v>
      </c>
      <c r="C31">
        <v>24</v>
      </c>
      <c r="D31">
        <v>0</v>
      </c>
      <c r="E31" s="2"/>
      <c r="F31" s="2"/>
      <c r="G31" s="6">
        <v>41</v>
      </c>
      <c r="H31" t="b">
        <f>IF(B31,TRUE,FALSE)</f>
        <v>0</v>
      </c>
      <c r="I31" t="b">
        <f>IF(AND(H31,C31=D31),TRUE,FALSE)</f>
        <v>0</v>
      </c>
      <c r="J31" t="b">
        <f>IF(AND(H31,I31,(E31-F31)&lt;=5),TRUE,FALSE)</f>
        <v>0</v>
      </c>
    </row>
    <row r="32" spans="1:10" x14ac:dyDescent="0.25">
      <c r="B32" s="3"/>
      <c r="G32">
        <f>AVERAGE(G2:G31)</f>
        <v>31.5</v>
      </c>
      <c r="H32" s="3">
        <f>COUNTIF(H2:H31,TRUE)/COUNTIF(H2:H31,"&lt;&gt;")</f>
        <v>0.46666666666666667</v>
      </c>
      <c r="I32" s="3">
        <f>COUNTIF(I2:I31,TRUE)/COUNTIF(I2:I31,"&lt;&gt;")</f>
        <v>0.26666666666666666</v>
      </c>
      <c r="J32" s="3">
        <f>COUNTIF(J2:J31,TRUE)/COUNTIF(J2:J31,"&lt;&gt;")</f>
        <v>0.2</v>
      </c>
    </row>
  </sheetData>
  <conditionalFormatting sqref="H3:J32">
    <cfRule type="cellIs" dxfId="2" priority="3" operator="equal">
      <formula>TRUE</formula>
    </cfRule>
  </conditionalFormatting>
  <conditionalFormatting sqref="B32">
    <cfRule type="cellIs" dxfId="1" priority="2" operator="equal">
      <formula>TRUE</formula>
    </cfRule>
  </conditionalFormatting>
  <conditionalFormatting sqref="H2:J2">
    <cfRule type="cellIs" dxfId="0" priority="1" operator="equal">
      <formula>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DeepSeek-V3 (2)</vt:lpstr>
      <vt:lpstr>Qwen 3.5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Thanh Tùng</cp:lastModifiedBy>
  <dcterms:created xsi:type="dcterms:W3CDTF">2026-06-18T16:18:31Z</dcterms:created>
  <dcterms:modified xsi:type="dcterms:W3CDTF">2026-06-19T04:30:43Z</dcterms:modified>
</cp:coreProperties>
</file>